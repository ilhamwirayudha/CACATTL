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<sst xmlns="http://schemas.openxmlformats.org/spreadsheetml/2006/main" count="59" uniqueCount="55">
  <si>
    <t>DASHBOARD EFISIENSI OPERASIONAL DUAL CYCLE (TWO-WAY LOAD)</t>
  </si>
  <si>
    <t>Optimasi Angkutan Muatan 2 Arah (Dermaga ⇄ Lapangan) • Eliminasi Ritase Kosong (Empty Trips) &amp; Penghematan BBM • Baseline: 659 Rit</t>
  </si>
  <si>
    <t>BASELINE RITASE (SINGLE CYCLE)</t>
  </si>
  <si>
    <t>RITASE DUAL CYCLE (2 ARAH)</t>
  </si>
  <si>
    <t>RITASE KOSONG DIELIMINASI</t>
  </si>
  <si>
    <t>EFISIENSI KONSUMSI BBM</t>
  </si>
  <si>
    <t>Trip 1 arah (perjalanan kembali kosong)</t>
  </si>
  <si>
    <t>Muatan 2 arah (dermaga ⇄ lapangan)</t>
  </si>
  <si>
    <t>Ritase kosong berhasil ditiadakan</t>
  </si>
  <si>
    <t xml:space="preserve">  📊 GRAFIK KOMPARASI RITASE DUAL CYCLE VS NON-DUAL CYCLE &amp; EFISIENSI</t>
  </si>
  <si>
    <t xml:space="preserve">  📋 SKEMA SENSITIVITAS PENETRASI DUAL CYCLE VS NON-DUAL CYCLE</t>
  </si>
  <si>
    <t>Skenario Penetrasi</t>
  </si>
  <si>
    <t>Delta Perubahan (±%)</t>
  </si>
  <si>
    <t>Ritase Dual Cycle (Rit)</t>
  </si>
  <si>
    <t>Ritase Non-Dual Cycle (Rit)</t>
  </si>
  <si>
    <t>Dampak Solar (Liter)</t>
  </si>
  <si>
    <t>Total Penggunaan BBM (Liter)</t>
  </si>
  <si>
    <t>Total BBM per Rit (Liter/Rit)</t>
  </si>
  <si>
    <t>Parameter Baseline Operasional</t>
  </si>
  <si>
    <t>Nilai</t>
  </si>
  <si>
    <t>Satuan</t>
  </si>
  <si>
    <t>Simulator Interaktif Dual Cycle</t>
  </si>
  <si>
    <t>Nilai Input</t>
  </si>
  <si>
    <t>Ringkasan Hasil Simulasi Efisiensi &amp; Finansial</t>
  </si>
  <si>
    <t>Keterangan</t>
  </si>
  <si>
    <t>Konsumsi BBM Periode 1</t>
  </si>
  <si>
    <t>Liter</t>
  </si>
  <si>
    <t>Filter Skenario Perubahan (Delta)</t>
  </si>
  <si>
    <t>% Delta dari Baseline 50%</t>
  </si>
  <si>
    <t>Total Ritase Dual Cycle Berjalan</t>
  </si>
  <si>
    <t>Rit Muatan 2 Arah Beroperasi</t>
  </si>
  <si>
    <t>Konsumsi BBM Periode 2</t>
  </si>
  <si>
    <t>Total Penetrasi Dual Cycle Efektif</t>
  </si>
  <si>
    <t>% Penetrasi Target</t>
  </si>
  <si>
    <t>Total Ritase Non-Dual Cycle (1 Arah)</t>
  </si>
  <si>
    <t>Rit Armada Single Cycle</t>
  </si>
  <si>
    <t>Total Konsumsi BBM Baseline</t>
  </si>
  <si>
    <t>Ritase Truk Dual Cycle</t>
  </si>
  <si>
    <t>Rit (Muatan 2 Arah)</t>
  </si>
  <si>
    <t>Tingkat Efisiensi / Penetrasi Dual Cycle</t>
  </si>
  <si>
    <t>Rasio Penetrasi terhadap Baseline</t>
  </si>
  <si>
    <t>Total Ritase Baseline (Single Cycle)</t>
  </si>
  <si>
    <t>Rit</t>
  </si>
  <si>
    <t>Ritase Truk Non-Dual Cycle</t>
  </si>
  <si>
    <t>Rit (Muatan 1 Arah)</t>
  </si>
  <si>
    <t>Total Solar Dihemat (vs Single Cycle)</t>
  </si>
  <si>
    <t>Liter Terlindungi per Bulan</t>
  </si>
  <si>
    <t>Konsumsi BBM Rata-rata Baseline</t>
  </si>
  <si>
    <t>Liter / Rit</t>
  </si>
  <si>
    <t>Pergeseran Ritase dari Titik Awal 50%</t>
  </si>
  <si>
    <t>Delta Rit DC</t>
  </si>
  <si>
    <t>Estimasi Harga Solar per Liter</t>
  </si>
  <si>
    <t>Rp / Liter</t>
  </si>
  <si>
    <t>Status Penyesuaian Skenario</t>
  </si>
  <si>
    <t>Status Operasional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</si>
</sst>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 &quot;Rit&quot;"/>
    <numFmt numFmtId="165" formatCode="0.0%"/>
    <numFmt numFmtId="166" formatCode="+0.0%;-0.0%;&quot;0.0%&quot;"/>
    <numFmt numFmtId="167" formatCode="#,##0.0"/>
    <numFmt numFmtId="168" formatCode="+0%;-0%;0%"/>
    <numFmt numFmtId="169" formatCode="+0;-0;&quot;0&quot;"/>
    <numFmt numFmtId="170" formatCode="+0.0;-0.0;&quot;0.0&quot;"/>
    <numFmt numFmtId="171" formatCode="Rp #,##0"/>
    <numFmt numFmtId="172" formatCode="&quot;Rp &quot;#,##0;&quot;Rp -&quot;#,##0;&quot;Rp 0&quot;"/>
  </numFmts>
  <fonts count="30">
    <font>
      <sz val="10.0"/>
      <color rgb="FF000000"/>
      <name val="Arial"/>
      <scheme val="minor"/>
    </font>
    <font>
      <b/>
      <sz val="16.0"/>
      <color rgb="FFFFFFFF"/>
      <name val="Roboto"/>
    </font>
    <font>
      <sz val="10.0"/>
      <color rgb="FFD5E2FF"/>
      <name val="Roboto"/>
    </font>
    <font>
      <b/>
      <sz val="10.0"/>
      <color rgb="FFFFFFFF"/>
      <name val="Roboto"/>
    </font>
    <font>
      <color theme="1"/>
      <name val="Arial"/>
      <scheme val="minor"/>
    </font>
    <font>
      <b/>
      <sz val="9.0"/>
      <color rgb="FF1E3F89"/>
      <name val="Arial"/>
      <scheme val="minor"/>
    </font>
    <font/>
    <font>
      <b/>
      <sz val="9.0"/>
      <color rgb="FF3F5E8E"/>
      <name val="Arial"/>
      <scheme val="minor"/>
    </font>
    <font>
      <b/>
      <sz val="9.0"/>
      <color rgb="FF057744"/>
      <name val="Arial"/>
      <scheme val="minor"/>
    </font>
    <font>
      <b/>
      <sz val="9.0"/>
      <color rgb="FF1C4CD8"/>
      <name val="Arial"/>
      <scheme val="minor"/>
    </font>
    <font>
      <b/>
      <sz val="9.0"/>
      <color rgb="FF147F3D"/>
      <name val="Arial"/>
      <scheme val="minor"/>
    </font>
    <font>
      <b/>
      <sz val="20.0"/>
      <color rgb="FF0F1628"/>
      <name val="Arial"/>
      <scheme val="minor"/>
    </font>
    <font>
      <b/>
      <sz val="20.0"/>
      <color rgb="FF19355B"/>
      <name val="Arial"/>
      <scheme val="minor"/>
    </font>
    <font>
      <b/>
      <sz val="20.0"/>
      <color rgb="FF054F3A"/>
      <name val="Arial"/>
      <scheme val="minor"/>
    </font>
    <font>
      <b/>
      <sz val="20.0"/>
      <color rgb="FF1E3FAF"/>
      <name val="Arial"/>
      <scheme val="minor"/>
    </font>
    <font>
      <b/>
      <sz val="20.0"/>
      <color rgb="FF166633"/>
      <name val="Arial"/>
      <scheme val="minor"/>
    </font>
    <font>
      <i/>
      <sz val="8.0"/>
      <color rgb="FF63728C"/>
      <name val="Arial"/>
      <scheme val="minor"/>
    </font>
    <font>
      <i/>
      <sz val="8.0"/>
      <color rgb="FF72777F"/>
      <name val="Arial"/>
      <scheme val="minor"/>
    </font>
    <font>
      <b/>
      <sz val="9.0"/>
      <color rgb="FF334968"/>
      <name val="Arial"/>
      <scheme val="minor"/>
    </font>
    <font>
      <sz val="10.0"/>
      <color theme="1"/>
      <name val="Roboto"/>
    </font>
    <font>
      <b/>
      <sz val="10.0"/>
      <color theme="1"/>
      <name val="Roboto"/>
    </font>
    <font>
      <b/>
      <sz val="9.0"/>
      <color rgb="FF263F59"/>
      <name val="Arial"/>
      <scheme val="minor"/>
    </font>
    <font>
      <b/>
      <color rgb="FFFFFFFF"/>
      <name val="Arial"/>
      <scheme val="minor"/>
    </font>
    <font>
      <sz val="10.0"/>
      <color rgb="FF000000"/>
      <name val="Roboto"/>
    </font>
    <font>
      <color rgb="FF164EA6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sz val="10.0"/>
      <color rgb="FF000000"/>
      <name val="Roboto"/>
    </font>
    <font>
      <b/>
      <color theme="1"/>
      <name val="Arial"/>
      <scheme val="minor"/>
    </font>
    <font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4F7F9"/>
        <bgColor rgb="FFF4F7F9"/>
      </patternFill>
    </fill>
    <fill>
      <patternFill patternType="solid">
        <fgColor rgb="FFF2F4F9"/>
        <bgColor rgb="FFF2F4F9"/>
      </patternFill>
    </fill>
    <fill>
      <patternFill patternType="solid">
        <fgColor rgb="FFFFFFFF"/>
        <bgColor rgb="FFFFFFFF"/>
      </patternFill>
    </fill>
    <fill>
      <patternFill patternType="solid">
        <fgColor rgb="FFEDFCF4"/>
        <bgColor rgb="FFEDFCF4"/>
      </patternFill>
    </fill>
    <fill>
      <patternFill patternType="solid">
        <fgColor rgb="FFEFF4FF"/>
        <bgColor rgb="FFEFF4FF"/>
      </patternFill>
    </fill>
    <fill>
      <patternFill patternType="solid">
        <fgColor rgb="FFEFFCF4"/>
        <bgColor rgb="FFEFFCF4"/>
      </patternFill>
    </fill>
    <fill>
      <patternFill patternType="solid">
        <fgColor rgb="FFE8EDF2"/>
        <bgColor rgb="FFE8EDF2"/>
      </patternFill>
    </fill>
    <fill>
      <patternFill patternType="solid">
        <fgColor rgb="FF465D92"/>
        <bgColor rgb="FF465D92"/>
      </patternFill>
    </fill>
    <fill>
      <patternFill patternType="solid">
        <fgColor rgb="FFD8E2FF"/>
        <bgColor rgb="FFD8E2FF"/>
      </patternFill>
    </fill>
    <fill>
      <patternFill patternType="solid">
        <fgColor rgb="FFE8EFFD"/>
        <bgColor rgb="FFE8EFFD"/>
      </patternFill>
    </fill>
    <fill>
      <patternFill patternType="solid">
        <fgColor rgb="FFF7F9FC"/>
        <bgColor rgb="FFF7F9FC"/>
      </patternFill>
    </fill>
  </fills>
  <borders count="68">
    <border/>
    <border>
      <left style="thin">
        <color rgb="FFCCD3E0"/>
      </left>
      <top style="thin">
        <color rgb="FFCCD3E0"/>
      </top>
      <bottom style="thin">
        <color rgb="FFE2E8ED"/>
      </bottom>
    </border>
    <border>
      <top style="thin">
        <color rgb="FFCCD3E0"/>
      </top>
      <bottom style="thin">
        <color rgb="FFE2E8ED"/>
      </bottom>
    </border>
    <border>
      <right style="thin">
        <color rgb="FFCCD3E0"/>
      </right>
      <top style="thin">
        <color rgb="FFCCD3E0"/>
      </top>
      <bottom style="thin">
        <color rgb="FFE2E8ED"/>
      </bottom>
    </border>
    <border>
      <left style="thin">
        <color rgb="FFA5F2D1"/>
      </left>
      <top style="thin">
        <color rgb="FFA5F2D1"/>
      </top>
      <bottom style="thin">
        <color rgb="FFC6F7E0"/>
      </bottom>
    </border>
    <border>
      <top style="thin">
        <color rgb="FFA5F2D1"/>
      </top>
      <bottom style="thin">
        <color rgb="FFC6F7E0"/>
      </bottom>
    </border>
    <border>
      <right style="thin">
        <color rgb="FFA5F2D1"/>
      </right>
      <top style="thin">
        <color rgb="FFA5F2D1"/>
      </top>
      <bottom style="thin">
        <color rgb="FFC6F7E0"/>
      </bottom>
    </border>
    <border>
      <left style="thin">
        <color rgb="FFBFDBFC"/>
      </left>
      <top style="thin">
        <color rgb="FFBFDBFC"/>
      </top>
      <bottom style="thin">
        <color rgb="FFD8E8FF"/>
      </bottom>
    </border>
    <border>
      <top style="thin">
        <color rgb="FFBFDBFC"/>
      </top>
      <bottom style="thin">
        <color rgb="FFD8E8FF"/>
      </bottom>
    </border>
    <border>
      <right style="thin">
        <color rgb="FFBFDBFC"/>
      </right>
      <top style="thin">
        <color rgb="FFBFDBFC"/>
      </top>
      <bottom style="thin">
        <color rgb="FFD8E8FF"/>
      </bottom>
    </border>
    <border>
      <left style="thin">
        <color rgb="FFBAF7D1"/>
      </left>
      <top style="thin">
        <color rgb="FFBAF7D1"/>
      </top>
      <bottom style="thin">
        <color rgb="FFD3F9E0"/>
      </bottom>
    </border>
    <border>
      <top style="thin">
        <color rgb="FFBAF7D1"/>
      </top>
      <bottom style="thin">
        <color rgb="FFD3F9E0"/>
      </bottom>
    </border>
    <border>
      <right style="thin">
        <color rgb="FFBAF7D1"/>
      </right>
      <top style="thin">
        <color rgb="FFBAF7D1"/>
      </top>
      <bottom style="thin">
        <color rgb="FFD3F9E0"/>
      </bottom>
    </border>
    <border>
      <left style="thin">
        <color rgb="FFCCD3E0"/>
      </left>
      <top style="thin">
        <color rgb="FFE2E8ED"/>
      </top>
      <bottom style="thin">
        <color rgb="FFE2E8ED"/>
      </bottom>
    </border>
    <border>
      <top style="thin">
        <color rgb="FFE2E8ED"/>
      </top>
      <bottom style="thin">
        <color rgb="FFE2E8ED"/>
      </bottom>
    </border>
    <border>
      <right style="thin">
        <color rgb="FFCCD3E0"/>
      </right>
      <top style="thin">
        <color rgb="FFE2E8ED"/>
      </top>
      <bottom style="thin">
        <color rgb="FFE2E8ED"/>
      </bottom>
    </border>
    <border>
      <left style="thin">
        <color rgb="FFA5F2D1"/>
      </left>
      <top style="thin">
        <color rgb="FFC6F7E0"/>
      </top>
      <bottom style="thin">
        <color rgb="FFC6F7E0"/>
      </bottom>
    </border>
    <border>
      <top style="thin">
        <color rgb="FFC6F7E0"/>
      </top>
      <bottom style="thin">
        <color rgb="FFC6F7E0"/>
      </bottom>
    </border>
    <border>
      <right style="thin">
        <color rgb="FFA5F2D1"/>
      </right>
      <top style="thin">
        <color rgb="FFC6F7E0"/>
      </top>
      <bottom style="thin">
        <color rgb="FFC6F7E0"/>
      </bottom>
    </border>
    <border>
      <left style="thin">
        <color rgb="FFBFDBFC"/>
      </left>
      <top style="thin">
        <color rgb="FFD8E8FF"/>
      </top>
      <bottom style="thin">
        <color rgb="FFD8E8FF"/>
      </bottom>
    </border>
    <border>
      <top style="thin">
        <color rgb="FFD8E8FF"/>
      </top>
      <bottom style="thin">
        <color rgb="FFD8E8FF"/>
      </bottom>
    </border>
    <border>
      <right style="thin">
        <color rgb="FFBFDBFC"/>
      </right>
      <top style="thin">
        <color rgb="FFD8E8FF"/>
      </top>
      <bottom style="thin">
        <color rgb="FFD8E8FF"/>
      </bottom>
    </border>
    <border>
      <left style="thin">
        <color rgb="FFBAF7D1"/>
      </left>
      <top style="thin">
        <color rgb="FFD3F9E0"/>
      </top>
      <bottom style="thin">
        <color rgb="FFD3F9E0"/>
      </bottom>
    </border>
    <border>
      <top style="thin">
        <color rgb="FFD3F9E0"/>
      </top>
      <bottom style="thin">
        <color rgb="FFD3F9E0"/>
      </bottom>
    </border>
    <border>
      <right style="thin">
        <color rgb="FFBAF7D1"/>
      </right>
      <top style="thin">
        <color rgb="FFD3F9E0"/>
      </top>
      <bottom style="thin">
        <color rgb="FFD3F9E0"/>
      </bottom>
    </border>
    <border>
      <left style="thin">
        <color rgb="FFCCD3E0"/>
      </left>
      <top style="thin">
        <color rgb="FFE2E8ED"/>
      </top>
      <bottom style="thin">
        <color rgb="FFCCD3E0"/>
      </bottom>
    </border>
    <border>
      <top style="thin">
        <color rgb="FFE2E8ED"/>
      </top>
      <bottom style="thin">
        <color rgb="FFCCD3E0"/>
      </bottom>
    </border>
    <border>
      <right style="thin">
        <color rgb="FFCCD3E0"/>
      </right>
      <top style="thin">
        <color rgb="FFE2E8ED"/>
      </top>
      <bottom style="thin">
        <color rgb="FFCCD3E0"/>
      </bottom>
    </border>
    <border>
      <left style="thin">
        <color rgb="FFA5F2D1"/>
      </left>
      <top style="thin">
        <color rgb="FFC6F7E0"/>
      </top>
      <bottom style="thin">
        <color rgb="FFA5F2D1"/>
      </bottom>
    </border>
    <border>
      <top style="thin">
        <color rgb="FFC6F7E0"/>
      </top>
      <bottom style="thin">
        <color rgb="FFA5F2D1"/>
      </bottom>
    </border>
    <border>
      <right style="thin">
        <color rgb="FFA5F2D1"/>
      </right>
      <top style="thin">
        <color rgb="FFC6F7E0"/>
      </top>
      <bottom style="thin">
        <color rgb="FFA5F2D1"/>
      </bottom>
    </border>
    <border>
      <left style="thin">
        <color rgb="FFBFDBFC"/>
      </left>
      <top style="thin">
        <color rgb="FFD8E8FF"/>
      </top>
      <bottom style="thin">
        <color rgb="FFBFDBFC"/>
      </bottom>
    </border>
    <border>
      <top style="thin">
        <color rgb="FFD8E8FF"/>
      </top>
      <bottom style="thin">
        <color rgb="FFBFDBFC"/>
      </bottom>
    </border>
    <border>
      <right style="thin">
        <color rgb="FFBFDBFC"/>
      </right>
      <top style="thin">
        <color rgb="FFD8E8FF"/>
      </top>
      <bottom style="thin">
        <color rgb="FFBFDBFC"/>
      </bottom>
    </border>
    <border>
      <left style="thin">
        <color rgb="FFBAF7D1"/>
      </left>
      <top style="thin">
        <color rgb="FFD3F9E0"/>
      </top>
      <bottom style="thin">
        <color rgb="FFBAF7D1"/>
      </bottom>
    </border>
    <border>
      <top style="thin">
        <color rgb="FFD3F9E0"/>
      </top>
      <bottom style="thin">
        <color rgb="FFBAF7D1"/>
      </bottom>
    </border>
    <border>
      <right style="thin">
        <color rgb="FFBAF7D1"/>
      </right>
      <top style="thin">
        <color rgb="FFD3F9E0"/>
      </top>
      <bottom style="thin">
        <color rgb="FFBAF7D1"/>
      </bottom>
    </border>
    <border>
      <left style="thin">
        <color rgb="FFCCD1DD"/>
      </left>
      <right style="thin">
        <color rgb="FFD8DDE5"/>
      </right>
      <top style="thin">
        <color rgb="FFCCD1DD"/>
      </top>
      <bottom style="thin">
        <color rgb="FFD8DDE5"/>
      </bottom>
    </border>
    <border>
      <left style="thin">
        <color rgb="FFD8DDE5"/>
      </left>
      <right style="thin">
        <color rgb="FFD8DDE5"/>
      </right>
      <top style="thin">
        <color rgb="FFCCD1DD"/>
      </top>
      <bottom style="thin">
        <color rgb="FFD8DDE5"/>
      </bottom>
    </border>
    <border>
      <left style="thin">
        <color rgb="FFD8DDE5"/>
      </left>
      <right style="thin">
        <color rgb="FFCCD1DD"/>
      </right>
      <top style="thin">
        <color rgb="FFCCD1DD"/>
      </top>
      <bottom style="thin">
        <color rgb="FFD8DDE5"/>
      </bottom>
    </border>
    <border>
      <left style="thin">
        <color rgb="FFCCD1DD"/>
      </left>
      <right style="thin">
        <color rgb="FFD8DDE5"/>
      </right>
      <top style="thin">
        <color rgb="FFD8DDE5"/>
      </top>
      <bottom style="thin">
        <color rgb="FFD8DDE5"/>
      </bottom>
    </border>
    <border>
      <left style="thin">
        <color rgb="FFD8DDE5"/>
      </left>
      <right style="thin">
        <color rgb="FFD8DDE5"/>
      </right>
      <top style="thin">
        <color rgb="FFD8DDE5"/>
      </top>
      <bottom style="thin">
        <color rgb="FFD8DDE5"/>
      </bottom>
    </border>
    <border>
      <left style="thin">
        <color rgb="FFD8DDE5"/>
      </left>
      <right style="thin">
        <color rgb="FFCCD1DD"/>
      </right>
      <top style="thin">
        <color rgb="FFD8DDE5"/>
      </top>
      <bottom style="thin">
        <color rgb="FFD8DDE5"/>
      </bottom>
    </border>
    <border>
      <left style="thin">
        <color rgb="FFCCD1DD"/>
      </left>
      <right style="thin">
        <color rgb="FFD8DDE5"/>
      </right>
      <top style="thin">
        <color rgb="FFD8DDE5"/>
      </top>
    </border>
    <border>
      <left style="thin">
        <color rgb="FFD8DDE5"/>
      </left>
      <right style="thin">
        <color rgb="FFD8DDE5"/>
      </right>
      <top style="thin">
        <color rgb="FFD8DDE5"/>
      </top>
    </border>
    <border>
      <left style="thin">
        <color rgb="FFD8DDE5"/>
      </left>
      <right style="thin">
        <color rgb="FFCCD1DD"/>
      </right>
      <top style="thin">
        <color rgb="FFD8DDE5"/>
      </top>
    </border>
    <border>
      <left style="thin">
        <color rgb="FFCCCCCC"/>
      </left>
      <right style="thin">
        <color rgb="FFE5E5E5"/>
      </right>
      <top style="thin">
        <color rgb="FFCCCCCC"/>
      </top>
      <bottom style="thin">
        <color rgb="FFE5E5E5"/>
      </bottom>
    </border>
    <border>
      <left style="thin">
        <color rgb="FFE5E5E5"/>
      </left>
      <right style="thin">
        <color rgb="FFE5E5E5"/>
      </right>
      <top style="thin">
        <color rgb="FFCCCCCC"/>
      </top>
      <bottom style="thin">
        <color rgb="FFE5E5E5"/>
      </bottom>
    </border>
    <border>
      <left style="thin">
        <color rgb="FFE5E5E5"/>
      </left>
      <right style="thin">
        <color rgb="FFCCCCCC"/>
      </right>
      <top style="thin">
        <color rgb="FFCCCCCC"/>
      </top>
      <bottom style="thin">
        <color rgb="FFE5E5E5"/>
      </bottom>
    </border>
    <border>
      <left style="thin">
        <color rgb="FFE5E5E5"/>
      </left>
      <right style="thin">
        <color rgb="FFE5E5E5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E5E5E5"/>
      </bottom>
    </border>
    <border>
      <top style="thin">
        <color rgb="FFCCCCCC"/>
      </top>
      <bottom style="thin">
        <color rgb="FFE5E5E5"/>
      </bottom>
    </border>
    <border>
      <right style="thin">
        <color rgb="FFE5E5E5"/>
      </right>
      <top style="thin">
        <color rgb="FFCCCCCC"/>
      </top>
      <bottom style="thin">
        <color rgb="FFE5E5E5"/>
      </bottom>
    </border>
    <border>
      <left style="thin">
        <color rgb="FFCCCCCC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right style="thin">
        <color rgb="FFCCCCCC"/>
      </right>
      <top style="thin">
        <color rgb="FFE5E5E5"/>
      </top>
      <bottom style="thin">
        <color rgb="FFE5E5E5"/>
      </bottom>
    </border>
    <border>
      <left style="thin">
        <color rgb="FFCCCCCC"/>
      </left>
      <top style="thin">
        <color rgb="FFE5E5E5"/>
      </top>
      <bottom style="thin">
        <color rgb="FFE5E5E5"/>
      </bottom>
    </border>
    <border>
      <left style="medium">
        <color rgb="FF1A73E8"/>
      </left>
      <right style="medium">
        <color rgb="FF1A73E8"/>
      </right>
      <top style="medium">
        <color rgb="FF1A73E8"/>
      </top>
      <bottom style="medium">
        <color rgb="FF1A73E8"/>
      </bottom>
    </border>
    <border>
      <right style="thin">
        <color rgb="FFCCCCCC"/>
      </right>
      <top style="thin">
        <color rgb="FFE5E5E5"/>
      </top>
      <bottom style="thin">
        <color rgb="FFE5E5E5"/>
      </bottom>
    </border>
    <border>
      <top style="thin">
        <color rgb="FFE5E5E5"/>
      </top>
      <bottom style="thin">
        <color rgb="FFE5E5E5"/>
      </bottom>
    </border>
    <border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right style="thin">
        <color rgb="FFE5E5E5"/>
      </right>
      <bottom style="thin">
        <color rgb="FFE5E5E5"/>
      </bottom>
    </border>
    <border>
      <left style="thin">
        <color rgb="FFCCCCCC"/>
      </left>
      <right style="thin">
        <color rgb="FFE5E5E5"/>
      </right>
      <top style="thin">
        <color rgb="FFE5E5E5"/>
      </top>
      <bottom style="thin">
        <color rgb="FFCCCCCC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CCCCCC"/>
      </bottom>
    </border>
    <border>
      <left style="thin">
        <color rgb="FFE5E5E5"/>
      </left>
      <right style="thin">
        <color rgb="FFCCCCCC"/>
      </right>
      <top style="thin">
        <color rgb="FFE5E5E5"/>
      </top>
      <bottom style="thin">
        <color rgb="FFCCCCCC"/>
      </bottom>
    </border>
    <border>
      <left style="thin">
        <color rgb="FFCCCCCC"/>
      </left>
      <top style="thin">
        <color rgb="FFE5E5E5"/>
      </top>
      <bottom style="thin">
        <color rgb="FFCCCCCC"/>
      </bottom>
    </border>
    <border>
      <top style="thin">
        <color rgb="FFE5E5E5"/>
      </top>
      <bottom style="thin">
        <color rgb="FFCCCCCC"/>
      </bottom>
    </border>
    <border>
      <right style="thin">
        <color rgb="FFE5E5E5"/>
      </right>
      <top style="thin">
        <color rgb="FFE5E5E5"/>
      </top>
      <bottom style="thin">
        <color rgb="FFCCCCCC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3" fontId="4" numFmtId="0" xfId="0" applyFill="1" applyFont="1"/>
    <xf borderId="1" fillId="4" fontId="5" numFmtId="0" xfId="0" applyAlignment="1" applyBorder="1" applyFill="1" applyFont="1">
      <alignment horizontal="center" readingOrder="0" shrinkToFit="0" vertical="center" wrapText="0"/>
    </xf>
    <xf borderId="2" fillId="0" fontId="6" numFmtId="0" xfId="0" applyBorder="1" applyFont="1"/>
    <xf borderId="3" fillId="0" fontId="6" numFmtId="0" xfId="0" applyBorder="1" applyFont="1"/>
    <xf borderId="0" fillId="5" fontId="7" numFmtId="0" xfId="0" applyAlignment="1" applyFill="1" applyFont="1">
      <alignment horizontal="center" readingOrder="0" shrinkToFit="0" vertical="center" wrapText="0"/>
    </xf>
    <xf borderId="4" fillId="6" fontId="8" numFmtId="0" xfId="0" applyAlignment="1" applyBorder="1" applyFill="1" applyFont="1">
      <alignment horizontal="center" readingOrder="0" vertical="center"/>
    </xf>
    <xf borderId="5" fillId="0" fontId="6" numFmtId="0" xfId="0" applyBorder="1" applyFont="1"/>
    <xf borderId="6" fillId="0" fontId="6" numFmtId="0" xfId="0" applyBorder="1" applyFont="1"/>
    <xf borderId="7" fillId="7" fontId="9" numFmtId="0" xfId="0" applyAlignment="1" applyBorder="1" applyFill="1" applyFon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10" fillId="8" fontId="10" numFmtId="0" xfId="0" applyAlignment="1" applyBorder="1" applyFill="1" applyFont="1">
      <alignment horizontal="center" readingOrder="0" vertical="center"/>
    </xf>
    <xf borderId="11" fillId="0" fontId="6" numFmtId="0" xfId="0" applyBorder="1" applyFont="1"/>
    <xf borderId="12" fillId="0" fontId="6" numFmtId="0" xfId="0" applyBorder="1" applyFont="1"/>
    <xf borderId="13" fillId="4" fontId="11" numFmtId="164" xfId="0" applyAlignment="1" applyBorder="1" applyFill="1" applyFont="1" applyNumberFormat="1">
      <alignment horizontal="center" readingOrder="0" shrinkToFit="0" vertical="center" wrapText="0"/>
    </xf>
    <xf borderId="14" fillId="0" fontId="6" numFmtId="0" xfId="0" applyBorder="1" applyFont="1"/>
    <xf borderId="15" fillId="0" fontId="6" numFmtId="0" xfId="0" applyBorder="1" applyFont="1"/>
    <xf borderId="0" fillId="5" fontId="12" numFmtId="164" xfId="0" applyAlignment="1" applyFill="1" applyFont="1" applyNumberFormat="1">
      <alignment horizontal="center" readingOrder="0" shrinkToFit="0" vertical="center" wrapText="0"/>
    </xf>
    <xf borderId="16" fillId="6" fontId="13" numFmtId="164" xfId="0" applyAlignment="1" applyBorder="1" applyFill="1" applyFont="1" applyNumberFormat="1">
      <alignment horizontal="center" vertical="center"/>
    </xf>
    <xf borderId="17" fillId="0" fontId="6" numFmtId="0" xfId="0" applyBorder="1" applyFont="1"/>
    <xf borderId="18" fillId="0" fontId="6" numFmtId="0" xfId="0" applyBorder="1" applyFont="1"/>
    <xf borderId="19" fillId="7" fontId="14" numFmtId="165" xfId="0" applyAlignment="1" applyBorder="1" applyFill="1" applyFont="1" applyNumberFormat="1">
      <alignment horizontal="center" vertical="center"/>
    </xf>
    <xf borderId="20" fillId="0" fontId="6" numFmtId="0" xfId="0" applyBorder="1" applyFont="1"/>
    <xf borderId="21" fillId="0" fontId="6" numFmtId="0" xfId="0" applyBorder="1" applyFont="1"/>
    <xf borderId="22" fillId="8" fontId="15" numFmtId="165" xfId="0" applyAlignment="1" applyBorder="1" applyFill="1" applyFont="1" applyNumberFormat="1">
      <alignment horizontal="center" vertical="center"/>
    </xf>
    <xf borderId="23" fillId="0" fontId="6" numFmtId="0" xfId="0" applyBorder="1" applyFont="1"/>
    <xf borderId="24" fillId="0" fontId="6" numFmtId="0" xfId="0" applyBorder="1" applyFont="1"/>
    <xf borderId="25" fillId="4" fontId="16" numFmtId="0" xfId="0" applyAlignment="1" applyBorder="1" applyFill="1" applyFont="1">
      <alignment horizontal="center" readingOrder="0" shrinkToFit="0" vertical="center" wrapText="0"/>
    </xf>
    <xf borderId="26" fillId="0" fontId="6" numFmtId="0" xfId="0" applyBorder="1" applyFont="1"/>
    <xf borderId="27" fillId="0" fontId="6" numFmtId="0" xfId="0" applyBorder="1" applyFont="1"/>
    <xf borderId="0" fillId="5" fontId="17" numFmtId="0" xfId="0" applyAlignment="1" applyFill="1" applyFont="1">
      <alignment horizontal="center" readingOrder="0" shrinkToFit="0" vertical="center" wrapText="0"/>
    </xf>
    <xf borderId="28" fillId="6" fontId="16" numFmtId="0" xfId="0" applyAlignment="1" applyBorder="1" applyFill="1" applyFont="1">
      <alignment horizontal="center" readingOrder="0" vertical="center"/>
    </xf>
    <xf borderId="29" fillId="0" fontId="6" numFmtId="0" xfId="0" applyBorder="1" applyFont="1"/>
    <xf borderId="30" fillId="0" fontId="6" numFmtId="0" xfId="0" applyBorder="1" applyFont="1"/>
    <xf borderId="31" fillId="7" fontId="16" numFmtId="0" xfId="0" applyAlignment="1" applyBorder="1" applyFill="1" applyFont="1">
      <alignment horizontal="center" readingOrder="0" vertical="center"/>
    </xf>
    <xf borderId="32" fillId="0" fontId="6" numFmtId="0" xfId="0" applyBorder="1" applyFont="1"/>
    <xf borderId="33" fillId="0" fontId="6" numFmtId="0" xfId="0" applyBorder="1" applyFont="1"/>
    <xf borderId="34" fillId="8" fontId="16" numFmtId="0" xfId="0" applyAlignment="1" applyBorder="1" applyFill="1" applyFont="1">
      <alignment horizontal="center" vertical="center"/>
    </xf>
    <xf borderId="35" fillId="0" fontId="6" numFmtId="0" xfId="0" applyBorder="1" applyFont="1"/>
    <xf borderId="36" fillId="0" fontId="6" numFmtId="0" xfId="0" applyBorder="1" applyFont="1"/>
    <xf borderId="0" fillId="9" fontId="18" numFmtId="0" xfId="0" applyAlignment="1" applyFill="1" applyFont="1">
      <alignment horizontal="left" readingOrder="0" vertical="center"/>
    </xf>
    <xf borderId="37" fillId="10" fontId="3" numFmtId="0" xfId="0" applyAlignment="1" applyBorder="1" applyFill="1" applyFont="1">
      <alignment horizontal="center" readingOrder="0" shrinkToFit="0" vertical="center" wrapText="1"/>
    </xf>
    <xf borderId="38" fillId="10" fontId="3" numFmtId="0" xfId="0" applyAlignment="1" applyBorder="1" applyFill="1" applyFont="1">
      <alignment horizontal="center" readingOrder="0" shrinkToFit="0" vertical="center" wrapText="1"/>
    </xf>
    <xf borderId="39" fillId="10" fontId="3" numFmtId="0" xfId="0" applyAlignment="1" applyBorder="1" applyFill="1" applyFont="1">
      <alignment horizontal="center" readingOrder="0" shrinkToFit="0" vertical="center" wrapText="1"/>
    </xf>
    <xf borderId="40" fillId="0" fontId="19" numFmtId="165" xfId="0" applyAlignment="1" applyBorder="1" applyFont="1" applyNumberFormat="1">
      <alignment horizontal="right" readingOrder="0"/>
    </xf>
    <xf borderId="41" fillId="0" fontId="19" numFmtId="166" xfId="0" applyAlignment="1" applyBorder="1" applyFont="1" applyNumberFormat="1">
      <alignment horizontal="center"/>
    </xf>
    <xf borderId="41" fillId="0" fontId="19" numFmtId="3" xfId="0" applyAlignment="1" applyBorder="1" applyFont="1" applyNumberFormat="1">
      <alignment horizontal="right"/>
    </xf>
    <xf borderId="42" fillId="0" fontId="19" numFmtId="3" xfId="0" applyAlignment="1" applyBorder="1" applyFont="1" applyNumberFormat="1">
      <alignment horizontal="right"/>
    </xf>
    <xf borderId="42" fillId="5" fontId="19" numFmtId="4" xfId="0" applyAlignment="1" applyBorder="1" applyFill="1" applyFont="1" applyNumberFormat="1">
      <alignment horizontal="right" vertical="center"/>
    </xf>
    <xf borderId="40" fillId="11" fontId="20" numFmtId="165" xfId="0" applyAlignment="1" applyBorder="1" applyFill="1" applyFont="1" applyNumberFormat="1">
      <alignment horizontal="right" readingOrder="0"/>
    </xf>
    <xf borderId="41" fillId="11" fontId="20" numFmtId="166" xfId="0" applyAlignment="1" applyBorder="1" applyFill="1" applyFont="1" applyNumberFormat="1">
      <alignment horizontal="center"/>
    </xf>
    <xf borderId="41" fillId="11" fontId="20" numFmtId="3" xfId="0" applyAlignment="1" applyBorder="1" applyFill="1" applyFont="1" applyNumberFormat="1">
      <alignment horizontal="right"/>
    </xf>
    <xf borderId="42" fillId="11" fontId="20" numFmtId="3" xfId="0" applyAlignment="1" applyBorder="1" applyFill="1" applyFont="1" applyNumberFormat="1">
      <alignment horizontal="right"/>
    </xf>
    <xf borderId="42" fillId="11" fontId="20" numFmtId="4" xfId="0" applyAlignment="1" applyBorder="1" applyFill="1" applyFont="1" applyNumberFormat="1">
      <alignment horizontal="right" vertical="center"/>
    </xf>
    <xf borderId="0" fillId="0" fontId="4" numFmtId="9" xfId="0" applyAlignment="1" applyFont="1" applyNumberFormat="1">
      <alignment readingOrder="0"/>
    </xf>
    <xf borderId="43" fillId="0" fontId="19" numFmtId="165" xfId="0" applyAlignment="1" applyBorder="1" applyFont="1" applyNumberFormat="1">
      <alignment horizontal="right" readingOrder="0"/>
    </xf>
    <xf borderId="44" fillId="0" fontId="19" numFmtId="166" xfId="0" applyAlignment="1" applyBorder="1" applyFont="1" applyNumberFormat="1">
      <alignment horizontal="center"/>
    </xf>
    <xf borderId="44" fillId="0" fontId="19" numFmtId="3" xfId="0" applyAlignment="1" applyBorder="1" applyFont="1" applyNumberFormat="1">
      <alignment horizontal="right"/>
    </xf>
    <xf borderId="45" fillId="0" fontId="19" numFmtId="3" xfId="0" applyAlignment="1" applyBorder="1" applyFont="1" applyNumberFormat="1">
      <alignment horizontal="right"/>
    </xf>
    <xf borderId="0" fillId="0" fontId="21" numFmtId="0" xfId="0" applyAlignment="1" applyFont="1">
      <alignment horizontal="center" vertical="center"/>
    </xf>
    <xf borderId="46" fillId="2" fontId="22" numFmtId="0" xfId="0" applyAlignment="1" applyBorder="1" applyFill="1" applyFont="1">
      <alignment horizontal="center" readingOrder="0" shrinkToFit="0" vertical="center" wrapText="0"/>
    </xf>
    <xf borderId="47" fillId="2" fontId="22" numFmtId="0" xfId="0" applyAlignment="1" applyBorder="1" applyFill="1" applyFont="1">
      <alignment horizontal="center" readingOrder="0" shrinkToFit="0" vertical="center" wrapText="0"/>
    </xf>
    <xf borderId="48" fillId="2" fontId="22" numFmtId="0" xfId="0" applyAlignment="1" applyBorder="1" applyFill="1" applyFont="1">
      <alignment horizontal="center" readingOrder="0" shrinkToFit="0" vertical="center" wrapText="0"/>
    </xf>
    <xf borderId="46" fillId="2" fontId="22" numFmtId="0" xfId="0" applyAlignment="1" applyBorder="1" applyFill="1" applyFont="1">
      <alignment horizontal="center" readingOrder="0" vertical="center"/>
    </xf>
    <xf borderId="49" fillId="2" fontId="22" numFmtId="0" xfId="0" applyAlignment="1" applyBorder="1" applyFill="1" applyFont="1">
      <alignment horizontal="center" readingOrder="0" vertical="center"/>
    </xf>
    <xf borderId="48" fillId="2" fontId="22" numFmtId="0" xfId="0" applyAlignment="1" applyBorder="1" applyFill="1" applyFont="1">
      <alignment horizontal="center" readingOrder="0" vertical="center"/>
    </xf>
    <xf borderId="50" fillId="2" fontId="22" numFmtId="0" xfId="0" applyAlignment="1" applyBorder="1" applyFill="1" applyFont="1">
      <alignment horizontal="center" readingOrder="0" vertical="center"/>
    </xf>
    <xf borderId="51" fillId="0" fontId="6" numFmtId="0" xfId="0" applyBorder="1" applyFont="1"/>
    <xf borderId="52" fillId="0" fontId="6" numFmtId="0" xfId="0" applyBorder="1" applyFont="1"/>
    <xf borderId="47" fillId="2" fontId="22" numFmtId="0" xfId="0" applyAlignment="1" applyBorder="1" applyFill="1" applyFont="1">
      <alignment horizontal="center" readingOrder="0" vertical="center"/>
    </xf>
    <xf borderId="53" fillId="0" fontId="23" numFmtId="0" xfId="0" applyAlignment="1" applyBorder="1" applyFont="1">
      <alignment readingOrder="0" shrinkToFit="0" vertical="bottom" wrapText="0"/>
    </xf>
    <xf borderId="54" fillId="0" fontId="23" numFmtId="167" xfId="0" applyAlignment="1" applyBorder="1" applyFont="1" applyNumberFormat="1">
      <alignment horizontal="right" readingOrder="0" shrinkToFit="0" vertical="bottom" wrapText="0"/>
    </xf>
    <xf borderId="55" fillId="0" fontId="23" numFmtId="0" xfId="0" applyAlignment="1" applyBorder="1" applyFont="1">
      <alignment horizontal="center" readingOrder="0" shrinkToFit="0" vertical="bottom" wrapText="0"/>
    </xf>
    <xf borderId="56" fillId="0" fontId="19" numFmtId="0" xfId="0" applyAlignment="1" applyBorder="1" applyFont="1">
      <alignment readingOrder="0"/>
    </xf>
    <xf borderId="57" fillId="12" fontId="24" numFmtId="168" xfId="0" applyAlignment="1" applyBorder="1" applyFill="1" applyFont="1" applyNumberFormat="1">
      <alignment horizontal="center" readingOrder="0"/>
    </xf>
    <xf borderId="58" fillId="0" fontId="19" numFmtId="0" xfId="0" applyAlignment="1" applyBorder="1" applyFont="1">
      <alignment horizontal="center" readingOrder="0"/>
    </xf>
    <xf borderId="56" fillId="5" fontId="25" numFmtId="0" xfId="0" applyAlignment="1" applyBorder="1" applyFill="1" applyFont="1">
      <alignment horizontal="left" readingOrder="0" vertical="center"/>
    </xf>
    <xf borderId="59" fillId="0" fontId="6" numFmtId="0" xfId="0" applyBorder="1" applyFont="1"/>
    <xf borderId="60" fillId="0" fontId="6" numFmtId="0" xfId="0" applyBorder="1" applyFont="1"/>
    <xf borderId="54" fillId="5" fontId="26" numFmtId="3" xfId="0" applyAlignment="1" applyBorder="1" applyFill="1" applyFont="1" applyNumberFormat="1">
      <alignment horizontal="right" vertical="center"/>
    </xf>
    <xf borderId="55" fillId="5" fontId="25" numFmtId="0" xfId="0" applyAlignment="1" applyBorder="1" applyFill="1" applyFont="1">
      <alignment horizontal="left" readingOrder="0" vertical="center"/>
    </xf>
    <xf borderId="53" fillId="0" fontId="19" numFmtId="0" xfId="0" applyAlignment="1" applyBorder="1" applyFont="1">
      <alignment readingOrder="0"/>
    </xf>
    <xf borderId="61" fillId="0" fontId="20" numFmtId="165" xfId="0" applyAlignment="1" applyBorder="1" applyFont="1" applyNumberFormat="1">
      <alignment horizontal="right" readingOrder="0"/>
    </xf>
    <xf borderId="55" fillId="0" fontId="19" numFmtId="0" xfId="0" applyAlignment="1" applyBorder="1" applyFont="1">
      <alignment horizontal="center" readingOrder="0"/>
    </xf>
    <xf borderId="56" fillId="13" fontId="25" numFmtId="0" xfId="0" applyAlignment="1" applyBorder="1" applyFill="1" applyFont="1">
      <alignment horizontal="left" readingOrder="0" vertical="center"/>
    </xf>
    <xf borderId="54" fillId="13" fontId="26" numFmtId="3" xfId="0" applyAlignment="1" applyBorder="1" applyFill="1" applyFont="1" applyNumberFormat="1">
      <alignment horizontal="right" vertical="center"/>
    </xf>
    <xf borderId="55" fillId="13" fontId="25" numFmtId="0" xfId="0" applyAlignment="1" applyBorder="1" applyFill="1" applyFont="1">
      <alignment horizontal="left" readingOrder="0" vertical="center"/>
    </xf>
    <xf borderId="53" fillId="4" fontId="27" numFmtId="0" xfId="0" applyAlignment="1" applyBorder="1" applyFill="1" applyFont="1">
      <alignment readingOrder="0" shrinkToFit="0" vertical="bottom" wrapText="0"/>
    </xf>
    <xf borderId="54" fillId="4" fontId="27" numFmtId="167" xfId="0" applyAlignment="1" applyBorder="1" applyFill="1" applyFont="1" applyNumberFormat="1">
      <alignment horizontal="right" readingOrder="0" shrinkToFit="0" vertical="bottom" wrapText="0"/>
    </xf>
    <xf borderId="55" fillId="4" fontId="27" numFmtId="0" xfId="0" applyAlignment="1" applyBorder="1" applyFill="1" applyFont="1">
      <alignment horizontal="center" readingOrder="0" shrinkToFit="0" vertical="bottom" wrapText="0"/>
    </xf>
    <xf borderId="54" fillId="0" fontId="20" numFmtId="3" xfId="0" applyAlignment="1" applyBorder="1" applyFont="1" applyNumberFormat="1">
      <alignment horizontal="right" readingOrder="0"/>
    </xf>
    <xf borderId="54" fillId="5" fontId="26" numFmtId="165" xfId="0" applyAlignment="1" applyBorder="1" applyFill="1" applyFont="1" applyNumberFormat="1">
      <alignment horizontal="right" vertical="center"/>
    </xf>
    <xf borderId="54" fillId="0" fontId="23" numFmtId="3" xfId="0" applyAlignment="1" applyBorder="1" applyFont="1" applyNumberFormat="1">
      <alignment horizontal="right" readingOrder="0" shrinkToFit="0" vertical="bottom" wrapText="0"/>
    </xf>
    <xf borderId="54" fillId="0" fontId="19" numFmtId="3" xfId="0" applyAlignment="1" applyBorder="1" applyFont="1" applyNumberFormat="1">
      <alignment horizontal="right" readingOrder="0"/>
    </xf>
    <xf borderId="56" fillId="0" fontId="4" numFmtId="0" xfId="0" applyAlignment="1" applyBorder="1" applyFont="1">
      <alignment readingOrder="0"/>
    </xf>
    <xf borderId="54" fillId="0" fontId="28" numFmtId="167" xfId="0" applyAlignment="1" applyBorder="1" applyFont="1" applyNumberFormat="1">
      <alignment horizontal="right"/>
    </xf>
    <xf borderId="55" fillId="0" fontId="4" numFmtId="0" xfId="0" applyAlignment="1" applyBorder="1" applyFont="1">
      <alignment readingOrder="0"/>
    </xf>
    <xf borderId="53" fillId="0" fontId="29" numFmtId="0" xfId="0" applyAlignment="1" applyBorder="1" applyFont="1">
      <alignment readingOrder="0" shrinkToFit="0" vertical="bottom" wrapText="0"/>
    </xf>
    <xf borderId="54" fillId="0" fontId="29" numFmtId="2" xfId="0" applyAlignment="1" applyBorder="1" applyFont="1" applyNumberFormat="1">
      <alignment horizontal="right" readingOrder="0" shrinkToFit="0" vertical="bottom" wrapText="0"/>
    </xf>
    <xf borderId="55" fillId="0" fontId="29" numFmtId="0" xfId="0" applyAlignment="1" applyBorder="1" applyFont="1">
      <alignment readingOrder="0" shrinkToFit="0" vertical="bottom" wrapText="0"/>
    </xf>
    <xf borderId="53" fillId="0" fontId="4" numFmtId="0" xfId="0" applyAlignment="1" applyBorder="1" applyFont="1">
      <alignment readingOrder="0"/>
    </xf>
    <xf borderId="54" fillId="0" fontId="28" numFmtId="169" xfId="0" applyAlignment="1" applyBorder="1" applyFont="1" applyNumberFormat="1">
      <alignment horizontal="right"/>
    </xf>
    <xf borderId="54" fillId="0" fontId="28" numFmtId="170" xfId="0" applyAlignment="1" applyBorder="1" applyFont="1" applyNumberFormat="1">
      <alignment horizontal="right"/>
    </xf>
    <xf borderId="62" fillId="0" fontId="4" numFmtId="0" xfId="0" applyAlignment="1" applyBorder="1" applyFont="1">
      <alignment readingOrder="0"/>
    </xf>
    <xf borderId="63" fillId="0" fontId="4" numFmtId="171" xfId="0" applyAlignment="1" applyBorder="1" applyFont="1" applyNumberFormat="1">
      <alignment horizontal="right" readingOrder="0"/>
    </xf>
    <xf borderId="64" fillId="0" fontId="4" numFmtId="0" xfId="0" applyAlignment="1" applyBorder="1" applyFont="1">
      <alignment readingOrder="0"/>
    </xf>
    <xf borderId="63" fillId="0" fontId="28" numFmtId="0" xfId="0" applyAlignment="1" applyBorder="1" applyFont="1">
      <alignment horizontal="center"/>
    </xf>
    <xf borderId="65" fillId="0" fontId="4" numFmtId="0" xfId="0" applyAlignment="1" applyBorder="1" applyFont="1">
      <alignment readingOrder="0"/>
    </xf>
    <xf borderId="66" fillId="0" fontId="6" numFmtId="0" xfId="0" applyBorder="1" applyFont="1"/>
    <xf borderId="67" fillId="0" fontId="6" numFmtId="0" xfId="0" applyBorder="1" applyFont="1"/>
    <xf borderId="63" fillId="0" fontId="28" numFmtId="172" xfId="0" applyAlignment="1" applyBorder="1" applyFont="1" applyNumberFormat="1">
      <alignment horizontal="right"/>
    </xf>
    <xf borderId="0" fillId="0" fontId="3" numFmtId="0" xfId="0" applyAlignment="1" applyFont="1">
      <alignment horizontal="center" readingOrder="0" vertical="center"/>
    </xf>
    <xf borderId="0" fillId="0" fontId="19" numFmtId="0" xfId="0" applyAlignment="1" applyFont="1">
      <alignment readingOrder="0"/>
    </xf>
    <xf borderId="0" fillId="0" fontId="20" numFmtId="3" xfId="0" applyAlignment="1" applyFont="1" applyNumberFormat="1">
      <alignment horizontal="right"/>
    </xf>
    <xf borderId="0" fillId="0" fontId="20" numFmtId="165" xfId="0" applyAlignment="1" applyFont="1" applyNumberFormat="1">
      <alignment horizontal="right"/>
    </xf>
  </cellXfs>
  <cellStyles count="1">
    <cellStyle xfId="0" name="Normal" builtinId="0"/>
  </cellStyles>
  <dxfs count="3">
    <dxf>
      <font>
        <b/>
        <color rgb="FF137333"/>
      </font>
      <fill>
        <patternFill patternType="solid">
          <fgColor rgb="FFE6F4EA"/>
          <bgColor rgb="FFE6F4EA"/>
        </patternFill>
      </fill>
      <border/>
    </dxf>
    <dxf>
      <font>
        <b/>
        <color rgb="FFC5211F"/>
      </font>
      <fill>
        <patternFill patternType="solid">
          <fgColor rgb="FFFBE8E6"/>
          <bgColor rgb="FFFBE8E6"/>
        </patternFill>
      </fill>
      <border/>
    </dxf>
    <dxf>
      <font>
        <b/>
        <color rgb="FF1A73E8"/>
      </font>
      <fill>
        <patternFill patternType="solid">
          <fgColor rgb="FFE8EFFD"/>
          <bgColor rgb="FFE8EFF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Komparasi Ritase: Dual Cycle vs Non-Dual Cycle &amp; Tren Efisiensi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Sheet1!$K$9</c:f>
            </c:strRef>
          </c:tx>
          <c:spPr>
            <a:solidFill>
              <a:srgbClr val="1E5195"/>
            </a:solidFill>
            <a:ln cmpd="sng">
              <a:noFill/>
            </a:ln>
          </c:spPr>
          <c:invertIfNegative val="0"/>
          <c:cat>
            <c:strRef>
              <c:f>Sheet1!$I$10:$I$23</c:f>
            </c:strRef>
          </c:cat>
          <c:val>
            <c:numRef>
              <c:f>Sheet1!$K$10:$K$23</c:f>
              <c:numCache/>
            </c:numRef>
          </c:val>
        </c:ser>
        <c:ser>
          <c:idx val="1"/>
          <c:order val="1"/>
          <c:tx>
            <c:strRef>
              <c:f>Sheet1!$L$9</c:f>
            </c:strRef>
          </c:tx>
          <c:spPr>
            <a:solidFill>
              <a:srgbClr val="92B8E7"/>
            </a:solidFill>
            <a:ln cmpd="sng">
              <a:noFill/>
            </a:ln>
          </c:spPr>
          <c:invertIfNegative val="0"/>
          <c:cat>
            <c:strRef>
              <c:f>Sheet1!$I$10:$I$23</c:f>
            </c:strRef>
          </c:cat>
          <c:val>
            <c:numRef>
              <c:f>Sheet1!$L$10:$L$23</c:f>
              <c:numCache/>
            </c:numRef>
          </c:val>
        </c:ser>
        <c:axId val="1714854984"/>
        <c:axId val="973538543"/>
      </c:barChart>
      <c:catAx>
        <c:axId val="1714854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Tingkat Penetrasi Dual 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3538543"/>
      </c:catAx>
      <c:valAx>
        <c:axId val="9735385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Volume Ritase Armada (Rit)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14854984"/>
      </c:valAx>
      <c:lineChart>
        <c:varyColors val="0"/>
        <c:ser>
          <c:idx val="2"/>
          <c:order val="2"/>
          <c:tx>
            <c:strRef>
              <c:f>Sheet1!$I$9</c:f>
            </c:strRef>
          </c:tx>
          <c:spPr>
            <a:ln cmpd="sng">
              <a:solidFill>
                <a:srgbClr val="149F53"/>
              </a:solidFill>
            </a:ln>
          </c:spPr>
          <c:marker>
            <c:symbol val="none"/>
          </c:marker>
          <c:cat>
            <c:strRef>
              <c:f>Sheet1!$I$10:$I$23</c:f>
            </c:strRef>
          </c:cat>
          <c:val>
            <c:numRef>
              <c:f>Sheet1!$I$10:$I$23</c:f>
              <c:numCache/>
            </c:numRef>
          </c:val>
          <c:smooth val="0"/>
        </c:ser>
        <c:axId val="735290692"/>
        <c:axId val="95870324"/>
      </c:lineChart>
      <c:catAx>
        <c:axId val="7352906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870324"/>
      </c:catAx>
      <c:valAx>
        <c:axId val="9587032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529069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Tren Konsumsi BBM per Rit vs Penetrasi Dual Cycle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Sheet1!$O$9</c:f>
            </c:strRef>
          </c:tx>
          <c:spPr>
            <a:ln cmpd="sng">
              <a:solidFill>
                <a:srgbClr val="1E5195"/>
              </a:solidFill>
            </a:ln>
          </c:spPr>
          <c:marker>
            <c:symbol val="none"/>
          </c:marker>
          <c:cat>
            <c:strRef>
              <c:f>Sheet1!$I$10:$I$23</c:f>
            </c:strRef>
          </c:cat>
          <c:val>
            <c:numRef>
              <c:f>Sheet1!$O$10:$O$23</c:f>
              <c:numCache/>
            </c:numRef>
          </c:val>
          <c:smooth val="0"/>
        </c:ser>
        <c:axId val="678540015"/>
        <c:axId val="932873748"/>
      </c:lineChart>
      <c:catAx>
        <c:axId val="678540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Tingkat Penetrasi Dual 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2873748"/>
      </c:catAx>
      <c:valAx>
        <c:axId val="932873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Konsumsi BBM per Rit (Liter / Rit)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854001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6096000" cy="3143250"/>
    <xdr:graphicFrame>
      <xdr:nvGraphicFramePr>
        <xdr:cNvPr id="1" name="Chart 1" title="Komparasi Ritase: Dual Cycle vs Non-Dual Cycle &amp; Tren Efisiensi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34</xdr:row>
      <xdr:rowOff>0</xdr:rowOff>
    </xdr:from>
    <xdr:ext cx="6096000" cy="3143250"/>
    <xdr:graphicFrame>
      <xdr:nvGraphicFramePr>
        <xdr:cNvPr id="2" name="Chart 2" title="Tren Konsumsi BBM per Rit vs Penetrasi Dual Cycl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2.63"/>
    <col customWidth="1" min="3" max="3" width="10.13"/>
    <col customWidth="1" min="4" max="4" width="3.88"/>
    <col customWidth="1" min="5" max="5" width="36.38"/>
    <col customWidth="1" min="6" max="6" width="20.75"/>
    <col customWidth="1" min="7" max="7" width="18.88"/>
    <col customWidth="1" min="8" max="8" width="3.88"/>
    <col customWidth="1" min="9" max="9" width="18.88"/>
    <col customWidth="1" min="10" max="11" width="17.63"/>
    <col customWidth="1" min="12" max="12" width="21.38"/>
    <col customWidth="1" min="13" max="13" width="20.13"/>
    <col customWidth="1" min="14" max="14" width="10.88"/>
    <col customWidth="1" min="15" max="15" width="18.88"/>
  </cols>
  <sheetData>
    <row r="1" ht="27.0" customHeight="1">
      <c r="A1" s="1" t="s">
        <v>0</v>
      </c>
    </row>
    <row r="2" ht="19.5" customHeight="1">
      <c r="A2" s="2" t="s">
        <v>1</v>
      </c>
    </row>
    <row r="3" ht="6.0" customHeight="1">
      <c r="A3" s="3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</row>
    <row r="4" ht="16.5" customHeight="1">
      <c r="A4" s="5" t="s">
        <v>2</v>
      </c>
      <c r="B4" s="6"/>
      <c r="C4" s="7"/>
      <c r="D4" s="8"/>
      <c r="E4" s="9" t="s">
        <v>3</v>
      </c>
      <c r="F4" s="10"/>
      <c r="G4" s="11"/>
      <c r="I4" s="12" t="s">
        <v>4</v>
      </c>
      <c r="J4" s="13"/>
      <c r="K4" s="14"/>
      <c r="L4" s="15" t="s">
        <v>5</v>
      </c>
      <c r="M4" s="16"/>
      <c r="N4" s="17"/>
    </row>
    <row r="5" ht="30.0" customHeight="1">
      <c r="A5" s="18">
        <f>B30</f>
        <v>659</v>
      </c>
      <c r="B5" s="19"/>
      <c r="C5" s="20"/>
      <c r="D5" s="21"/>
      <c r="E5" s="22">
        <f>F29</f>
        <v>330</v>
      </c>
      <c r="F5" s="23"/>
      <c r="G5" s="24"/>
      <c r="I5" s="25">
        <f>F28</f>
        <v>0.5</v>
      </c>
      <c r="J5" s="26"/>
      <c r="K5" s="27"/>
      <c r="L5" s="28">
        <f>F28</f>
        <v>0.5</v>
      </c>
      <c r="M5" s="29"/>
      <c r="N5" s="30"/>
    </row>
    <row r="6" ht="16.5" customHeight="1">
      <c r="A6" s="31" t="s">
        <v>6</v>
      </c>
      <c r="B6" s="32"/>
      <c r="C6" s="33"/>
      <c r="D6" s="34"/>
      <c r="E6" s="35" t="s">
        <v>7</v>
      </c>
      <c r="F6" s="36"/>
      <c r="G6" s="37"/>
      <c r="I6" s="38" t="s">
        <v>8</v>
      </c>
      <c r="J6" s="39"/>
      <c r="K6" s="40"/>
      <c r="L6" s="41" t="str">
        <f>"Hemat solar ~" &amp; ROUND(L30,0) &amp; " L / bln"</f>
        <v>Hemat solar ~1163 L / bln</v>
      </c>
      <c r="M6" s="42"/>
      <c r="N6" s="43"/>
    </row>
    <row r="7" ht="7.5" customHeight="1">
      <c r="A7" s="3"/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</row>
    <row r="8" ht="19.5" customHeight="1">
      <c r="B8" s="44" t="s">
        <v>9</v>
      </c>
      <c r="I8" s="44" t="s">
        <v>10</v>
      </c>
    </row>
    <row r="9">
      <c r="I9" s="45" t="s">
        <v>11</v>
      </c>
      <c r="J9" s="46" t="s">
        <v>12</v>
      </c>
      <c r="K9" s="46" t="s">
        <v>13</v>
      </c>
      <c r="L9" s="46" t="s">
        <v>14</v>
      </c>
      <c r="M9" s="47" t="s">
        <v>15</v>
      </c>
      <c r="N9" s="47" t="s">
        <v>16</v>
      </c>
      <c r="O9" s="47" t="s">
        <v>17</v>
      </c>
    </row>
    <row r="10">
      <c r="I10" s="48">
        <v>0.45</v>
      </c>
      <c r="J10" s="49">
        <f t="shared" ref="J10:J23" si="1">I10-50%</f>
        <v>-0.05</v>
      </c>
      <c r="K10" s="50">
        <f t="shared" ref="K10:K23" si="2">ROUND(I10*$B$30, 0)</f>
        <v>297</v>
      </c>
      <c r="L10" s="50">
        <f t="shared" ref="L10:L23" si="3">$B$30-K10</f>
        <v>362</v>
      </c>
      <c r="M10" s="51">
        <f t="shared" ref="M10:M23" si="4">ROUND(K10*$B$31, 0)</f>
        <v>1047</v>
      </c>
      <c r="N10" s="51">
        <f t="shared" ref="N10:N23" si="5">ROUND($B$29-M10, 0)</f>
        <v>1275</v>
      </c>
      <c r="O10" s="52">
        <f t="shared" ref="O10:O23" si="6">ROUND(N10/$B$30, 2)</f>
        <v>1.93</v>
      </c>
    </row>
    <row r="11">
      <c r="I11" s="48">
        <v>0.46</v>
      </c>
      <c r="J11" s="49">
        <f t="shared" si="1"/>
        <v>-0.04</v>
      </c>
      <c r="K11" s="50">
        <f t="shared" si="2"/>
        <v>303</v>
      </c>
      <c r="L11" s="50">
        <f t="shared" si="3"/>
        <v>356</v>
      </c>
      <c r="M11" s="51">
        <f t="shared" si="4"/>
        <v>1068</v>
      </c>
      <c r="N11" s="51">
        <f t="shared" si="5"/>
        <v>1254</v>
      </c>
      <c r="O11" s="52">
        <f t="shared" si="6"/>
        <v>1.9</v>
      </c>
    </row>
    <row r="12">
      <c r="I12" s="48">
        <v>0.47</v>
      </c>
      <c r="J12" s="49">
        <f t="shared" si="1"/>
        <v>-0.03</v>
      </c>
      <c r="K12" s="50">
        <f t="shared" si="2"/>
        <v>310</v>
      </c>
      <c r="L12" s="50">
        <f t="shared" si="3"/>
        <v>349</v>
      </c>
      <c r="M12" s="51">
        <f t="shared" si="4"/>
        <v>1092</v>
      </c>
      <c r="N12" s="51">
        <f t="shared" si="5"/>
        <v>1230</v>
      </c>
      <c r="O12" s="52">
        <f t="shared" si="6"/>
        <v>1.87</v>
      </c>
    </row>
    <row r="13">
      <c r="I13" s="48">
        <v>0.48</v>
      </c>
      <c r="J13" s="49">
        <f t="shared" si="1"/>
        <v>-0.02</v>
      </c>
      <c r="K13" s="50">
        <f t="shared" si="2"/>
        <v>316</v>
      </c>
      <c r="L13" s="50">
        <f t="shared" si="3"/>
        <v>343</v>
      </c>
      <c r="M13" s="51">
        <f t="shared" si="4"/>
        <v>1114</v>
      </c>
      <c r="N13" s="51">
        <f t="shared" si="5"/>
        <v>1208</v>
      </c>
      <c r="O13" s="52">
        <f t="shared" si="6"/>
        <v>1.83</v>
      </c>
    </row>
    <row r="14">
      <c r="I14" s="48">
        <v>0.49</v>
      </c>
      <c r="J14" s="49">
        <f t="shared" si="1"/>
        <v>-0.01</v>
      </c>
      <c r="K14" s="50">
        <f t="shared" si="2"/>
        <v>323</v>
      </c>
      <c r="L14" s="50">
        <f t="shared" si="3"/>
        <v>336</v>
      </c>
      <c r="M14" s="51">
        <f t="shared" si="4"/>
        <v>1138</v>
      </c>
      <c r="N14" s="51">
        <f t="shared" si="5"/>
        <v>1184</v>
      </c>
      <c r="O14" s="52">
        <f t="shared" si="6"/>
        <v>1.8</v>
      </c>
    </row>
    <row r="15">
      <c r="I15" s="53">
        <v>0.5</v>
      </c>
      <c r="J15" s="54">
        <f t="shared" si="1"/>
        <v>0</v>
      </c>
      <c r="K15" s="55">
        <f t="shared" si="2"/>
        <v>330</v>
      </c>
      <c r="L15" s="55">
        <f t="shared" si="3"/>
        <v>329</v>
      </c>
      <c r="M15" s="56">
        <f t="shared" si="4"/>
        <v>1163</v>
      </c>
      <c r="N15" s="56">
        <f t="shared" si="5"/>
        <v>1159</v>
      </c>
      <c r="O15" s="57">
        <f t="shared" si="6"/>
        <v>1.76</v>
      </c>
    </row>
    <row r="16">
      <c r="I16" s="48">
        <v>0.51</v>
      </c>
      <c r="J16" s="49">
        <f t="shared" si="1"/>
        <v>0.01</v>
      </c>
      <c r="K16" s="50">
        <f t="shared" si="2"/>
        <v>336</v>
      </c>
      <c r="L16" s="50">
        <f t="shared" si="3"/>
        <v>323</v>
      </c>
      <c r="M16" s="51">
        <f t="shared" si="4"/>
        <v>1184</v>
      </c>
      <c r="N16" s="51">
        <f t="shared" si="5"/>
        <v>1138</v>
      </c>
      <c r="O16" s="52">
        <f t="shared" si="6"/>
        <v>1.73</v>
      </c>
    </row>
    <row r="17">
      <c r="I17" s="48">
        <v>0.52</v>
      </c>
      <c r="J17" s="49">
        <f t="shared" si="1"/>
        <v>0.02</v>
      </c>
      <c r="K17" s="50">
        <f t="shared" si="2"/>
        <v>343</v>
      </c>
      <c r="L17" s="50">
        <f t="shared" si="3"/>
        <v>316</v>
      </c>
      <c r="M17" s="51">
        <f t="shared" si="4"/>
        <v>1209</v>
      </c>
      <c r="N17" s="51">
        <f t="shared" si="5"/>
        <v>1113</v>
      </c>
      <c r="O17" s="52">
        <f t="shared" si="6"/>
        <v>1.69</v>
      </c>
    </row>
    <row r="18">
      <c r="I18" s="48">
        <v>0.53</v>
      </c>
      <c r="J18" s="49">
        <f t="shared" si="1"/>
        <v>0.03</v>
      </c>
      <c r="K18" s="50">
        <f t="shared" si="2"/>
        <v>349</v>
      </c>
      <c r="L18" s="50">
        <f t="shared" si="3"/>
        <v>310</v>
      </c>
      <c r="M18" s="51">
        <f t="shared" si="4"/>
        <v>1230</v>
      </c>
      <c r="N18" s="51">
        <f t="shared" si="5"/>
        <v>1092</v>
      </c>
      <c r="O18" s="52">
        <f t="shared" si="6"/>
        <v>1.66</v>
      </c>
    </row>
    <row r="19">
      <c r="I19" s="48">
        <v>0.54</v>
      </c>
      <c r="J19" s="49">
        <f t="shared" si="1"/>
        <v>0.04</v>
      </c>
      <c r="K19" s="50">
        <f t="shared" si="2"/>
        <v>356</v>
      </c>
      <c r="L19" s="50">
        <f t="shared" si="3"/>
        <v>303</v>
      </c>
      <c r="M19" s="51">
        <f t="shared" si="4"/>
        <v>1255</v>
      </c>
      <c r="N19" s="51">
        <f t="shared" si="5"/>
        <v>1067</v>
      </c>
      <c r="O19" s="52">
        <f t="shared" si="6"/>
        <v>1.62</v>
      </c>
    </row>
    <row r="20">
      <c r="I20" s="48">
        <v>0.55</v>
      </c>
      <c r="J20" s="49">
        <f t="shared" si="1"/>
        <v>0.05</v>
      </c>
      <c r="K20" s="50">
        <f t="shared" si="2"/>
        <v>362</v>
      </c>
      <c r="L20" s="50">
        <f t="shared" si="3"/>
        <v>297</v>
      </c>
      <c r="M20" s="51">
        <f t="shared" si="4"/>
        <v>1276</v>
      </c>
      <c r="N20" s="51">
        <f t="shared" si="5"/>
        <v>1046</v>
      </c>
      <c r="O20" s="52">
        <f t="shared" si="6"/>
        <v>1.59</v>
      </c>
    </row>
    <row r="21">
      <c r="I21" s="48">
        <v>0.56</v>
      </c>
      <c r="J21" s="49">
        <f t="shared" si="1"/>
        <v>0.06</v>
      </c>
      <c r="K21" s="50">
        <f t="shared" si="2"/>
        <v>369</v>
      </c>
      <c r="L21" s="50">
        <f t="shared" si="3"/>
        <v>290</v>
      </c>
      <c r="M21" s="51">
        <f t="shared" si="4"/>
        <v>1300</v>
      </c>
      <c r="N21" s="51">
        <f t="shared" si="5"/>
        <v>1022</v>
      </c>
      <c r="O21" s="52">
        <f t="shared" si="6"/>
        <v>1.55</v>
      </c>
    </row>
    <row r="22">
      <c r="I22" s="48">
        <v>0.58</v>
      </c>
      <c r="J22" s="49">
        <f t="shared" si="1"/>
        <v>0.08</v>
      </c>
      <c r="K22" s="50">
        <f t="shared" si="2"/>
        <v>382</v>
      </c>
      <c r="L22" s="50">
        <f t="shared" si="3"/>
        <v>277</v>
      </c>
      <c r="M22" s="51">
        <f t="shared" si="4"/>
        <v>1346</v>
      </c>
      <c r="N22" s="51">
        <f t="shared" si="5"/>
        <v>976</v>
      </c>
      <c r="O22" s="52">
        <f t="shared" si="6"/>
        <v>1.48</v>
      </c>
    </row>
    <row r="23">
      <c r="F23" s="58"/>
      <c r="I23" s="59">
        <v>0.6</v>
      </c>
      <c r="J23" s="60">
        <f t="shared" si="1"/>
        <v>0.1</v>
      </c>
      <c r="K23" s="61">
        <f t="shared" si="2"/>
        <v>395</v>
      </c>
      <c r="L23" s="61">
        <f t="shared" si="3"/>
        <v>264</v>
      </c>
      <c r="M23" s="62">
        <f t="shared" si="4"/>
        <v>1392</v>
      </c>
      <c r="N23" s="51">
        <f t="shared" si="5"/>
        <v>930</v>
      </c>
      <c r="O23" s="52">
        <f t="shared" si="6"/>
        <v>1.41</v>
      </c>
    </row>
    <row r="24" ht="37.5" customHeight="1">
      <c r="A24" s="63"/>
      <c r="B24" s="63"/>
      <c r="C24" s="63"/>
      <c r="E24" s="63"/>
      <c r="F24" s="63"/>
      <c r="G24" s="63"/>
      <c r="I24" s="63"/>
      <c r="J24" s="63"/>
      <c r="K24" s="63"/>
      <c r="L24" s="63"/>
      <c r="M24" s="63"/>
    </row>
    <row r="25" ht="13.5" customHeight="1">
      <c r="A25" s="63"/>
      <c r="B25" s="63"/>
      <c r="C25" s="63"/>
      <c r="E25" s="63"/>
      <c r="F25" s="63"/>
      <c r="G25" s="63"/>
      <c r="I25" s="63"/>
      <c r="J25" s="63"/>
      <c r="K25" s="63"/>
      <c r="L25" s="63"/>
      <c r="M25" s="63"/>
    </row>
    <row r="26">
      <c r="A26" s="64" t="s">
        <v>18</v>
      </c>
      <c r="B26" s="65" t="s">
        <v>19</v>
      </c>
      <c r="C26" s="66" t="s">
        <v>20</v>
      </c>
      <c r="E26" s="67" t="s">
        <v>21</v>
      </c>
      <c r="F26" s="68" t="s">
        <v>22</v>
      </c>
      <c r="G26" s="69" t="s">
        <v>20</v>
      </c>
      <c r="I26" s="70" t="s">
        <v>23</v>
      </c>
      <c r="J26" s="71"/>
      <c r="K26" s="72"/>
      <c r="L26" s="73" t="s">
        <v>19</v>
      </c>
      <c r="M26" s="69" t="s">
        <v>24</v>
      </c>
    </row>
    <row r="27">
      <c r="A27" s="74" t="s">
        <v>25</v>
      </c>
      <c r="B27" s="75">
        <v>978.6</v>
      </c>
      <c r="C27" s="76" t="s">
        <v>26</v>
      </c>
      <c r="E27" s="77" t="s">
        <v>27</v>
      </c>
      <c r="F27" s="78">
        <v>0.0</v>
      </c>
      <c r="G27" s="79" t="s">
        <v>28</v>
      </c>
      <c r="I27" s="80" t="s">
        <v>29</v>
      </c>
      <c r="J27" s="81"/>
      <c r="K27" s="82"/>
      <c r="L27" s="83">
        <f t="shared" ref="L27:L28" si="7">F29</f>
        <v>330</v>
      </c>
      <c r="M27" s="84" t="s">
        <v>30</v>
      </c>
    </row>
    <row r="28">
      <c r="A28" s="74" t="s">
        <v>31</v>
      </c>
      <c r="B28" s="75">
        <v>1343.7</v>
      </c>
      <c r="C28" s="76" t="s">
        <v>26</v>
      </c>
      <c r="E28" s="85" t="s">
        <v>32</v>
      </c>
      <c r="F28" s="86">
        <f>50% + IF(ISNUMBER(F27), F27, IFERROR(VALUE(SUBSTITUTE(F27, "+", "")), 0))</f>
        <v>0.5</v>
      </c>
      <c r="G28" s="87" t="s">
        <v>33</v>
      </c>
      <c r="I28" s="88" t="s">
        <v>34</v>
      </c>
      <c r="J28" s="81"/>
      <c r="K28" s="82"/>
      <c r="L28" s="89">
        <f t="shared" si="7"/>
        <v>329</v>
      </c>
      <c r="M28" s="90" t="s">
        <v>35</v>
      </c>
    </row>
    <row r="29">
      <c r="A29" s="91" t="s">
        <v>36</v>
      </c>
      <c r="B29" s="92">
        <f>SUM(B27:B28)</f>
        <v>2322.3</v>
      </c>
      <c r="C29" s="93" t="s">
        <v>26</v>
      </c>
      <c r="E29" s="85" t="s">
        <v>37</v>
      </c>
      <c r="F29" s="94">
        <f>ROUND(F28*$B$30, 0)</f>
        <v>330</v>
      </c>
      <c r="G29" s="87" t="s">
        <v>38</v>
      </c>
      <c r="I29" s="80" t="s">
        <v>39</v>
      </c>
      <c r="J29" s="81"/>
      <c r="K29" s="82"/>
      <c r="L29" s="95">
        <f>F28</f>
        <v>0.5</v>
      </c>
      <c r="M29" s="84" t="s">
        <v>40</v>
      </c>
    </row>
    <row r="30">
      <c r="A30" s="74" t="s">
        <v>41</v>
      </c>
      <c r="B30" s="96">
        <v>659.0</v>
      </c>
      <c r="C30" s="76" t="s">
        <v>42</v>
      </c>
      <c r="E30" s="85" t="s">
        <v>43</v>
      </c>
      <c r="F30" s="97">
        <f>$B$30-F29</f>
        <v>329</v>
      </c>
      <c r="G30" s="87" t="s">
        <v>44</v>
      </c>
      <c r="I30" s="98" t="s">
        <v>45</v>
      </c>
      <c r="J30" s="81"/>
      <c r="K30" s="82"/>
      <c r="L30" s="99">
        <f>F29*$B$31</f>
        <v>1162.911988</v>
      </c>
      <c r="M30" s="100" t="s">
        <v>46</v>
      </c>
    </row>
    <row r="31">
      <c r="A31" s="101" t="s">
        <v>47</v>
      </c>
      <c r="B31" s="102">
        <f>B29/B30</f>
        <v>3.523975721</v>
      </c>
      <c r="C31" s="103" t="s">
        <v>48</v>
      </c>
      <c r="E31" s="104" t="s">
        <v>49</v>
      </c>
      <c r="F31" s="105">
        <f>F29 - ROUND(50%*$B$30, 0)</f>
        <v>0</v>
      </c>
      <c r="G31" s="100" t="s">
        <v>50</v>
      </c>
      <c r="I31" s="98" t="str">
        <f>IF(F31&gt;0, "Potensi Penghematan Tambahan Solar", IF(F31&lt;0, "Indikasi Pembengkakan Konsumsi Solar", "Volume Solar Sesuai Titik Awal 50%"))</f>
        <v>Volume Solar Sesuai Titik Awal 50%</v>
      </c>
      <c r="J31" s="81"/>
      <c r="K31" s="82"/>
      <c r="L31" s="106">
        <f>F31*$B$31</f>
        <v>0</v>
      </c>
      <c r="M31" s="100" t="str">
        <f>IF(L31&gt;0, "Liter Hemat Tambahan vs 50%", IF(L31&lt;0, "Liter Pemborosan BBM vs 50%", "Nol Perubahan Solar vs 50%"))</f>
        <v>Nol Perubahan Solar vs 50%</v>
      </c>
    </row>
    <row r="32">
      <c r="A32" s="107" t="s">
        <v>51</v>
      </c>
      <c r="B32" s="108">
        <v>15000.0</v>
      </c>
      <c r="C32" s="109" t="s">
        <v>52</v>
      </c>
      <c r="E32" s="107" t="s">
        <v>53</v>
      </c>
      <c r="F32" s="110" t="str">
        <f>IF(F31&gt;0, "Peningkatan Efisiensi DC", IF(F31&lt;0, "Penurunan / Utilisasi Berkurang", "Sesuai Baseline 50%"))</f>
        <v>Sesuai Baseline 50%</v>
      </c>
      <c r="G32" s="109" t="s">
        <v>54</v>
      </c>
      <c r="I32" s="111" t="str">
        <f>IF(L31&gt;0, "Potensi Efisiensi Finansial (Penghematan)", IF(L31&lt;0, "Indikasi Pembengkakan Biaya Bahan Bakar", "Biaya BBM Sesuai Baseline 50%"))</f>
        <v>Biaya BBM Sesuai Baseline 50%</v>
      </c>
      <c r="J32" s="112"/>
      <c r="K32" s="113"/>
      <c r="L32" s="114">
        <f>L31*$B$32</f>
        <v>0</v>
      </c>
      <c r="M32" s="109" t="str">
        <f>IF(L32&gt;0, "Rupiah Dihemat per Bulan", IF(L32&lt;0, "Biaya Membengkak per Bulan", "Sesuai Biaya Titik 50%"))</f>
        <v>Sesuai Biaya Titik 50%</v>
      </c>
    </row>
    <row r="34">
      <c r="E34" s="115"/>
      <c r="F34" s="115"/>
      <c r="G34" s="115"/>
    </row>
    <row r="35">
      <c r="E35" s="116"/>
      <c r="F35" s="117"/>
      <c r="G35" s="116"/>
    </row>
    <row r="36">
      <c r="E36" s="116"/>
      <c r="F36" s="118"/>
      <c r="G36" s="116"/>
    </row>
    <row r="37">
      <c r="E37" s="116"/>
      <c r="F37" s="118"/>
      <c r="G37" s="116"/>
    </row>
  </sheetData>
  <mergeCells count="23">
    <mergeCell ref="A5:C5"/>
    <mergeCell ref="A6:C6"/>
    <mergeCell ref="E6:G6"/>
    <mergeCell ref="B8:G8"/>
    <mergeCell ref="A1:N1"/>
    <mergeCell ref="A2:N2"/>
    <mergeCell ref="A4:C4"/>
    <mergeCell ref="E4:G4"/>
    <mergeCell ref="L4:N4"/>
    <mergeCell ref="E5:G5"/>
    <mergeCell ref="L5:N5"/>
    <mergeCell ref="I28:K28"/>
    <mergeCell ref="I29:K29"/>
    <mergeCell ref="I30:K30"/>
    <mergeCell ref="I31:K31"/>
    <mergeCell ref="I32:K32"/>
    <mergeCell ref="I4:K4"/>
    <mergeCell ref="I5:K5"/>
    <mergeCell ref="I6:K6"/>
    <mergeCell ref="L6:N6"/>
    <mergeCell ref="I8:O8"/>
    <mergeCell ref="I26:K26"/>
    <mergeCell ref="I27:K27"/>
  </mergeCells>
  <conditionalFormatting sqref="L31:L32 F31">
    <cfRule type="cellIs" dxfId="0" priority="1" stopIfTrue="1" operator="greaterThan">
      <formula>0</formula>
    </cfRule>
  </conditionalFormatting>
  <conditionalFormatting sqref="L31:L32 F31">
    <cfRule type="cellIs" dxfId="1" priority="2" stopIfTrue="1" operator="lessThan">
      <formula>0</formula>
    </cfRule>
  </conditionalFormatting>
  <conditionalFormatting sqref="J10:J23">
    <cfRule type="cellIs" dxfId="0" priority="3" stopIfTrue="1" operator="greaterThan">
      <formula>0</formula>
    </cfRule>
  </conditionalFormatting>
  <conditionalFormatting sqref="J10:J23">
    <cfRule type="cellIs" dxfId="1" priority="4" stopIfTrue="1" operator="lessThan">
      <formula>0</formula>
    </cfRule>
  </conditionalFormatting>
  <conditionalFormatting sqref="J10:J23">
    <cfRule type="cellIs" dxfId="2" priority="5" stopIfTrue="1" operator="equal">
      <formula>0</formula>
    </cfRule>
  </conditionalFormatting>
  <dataValidations>
    <dataValidation type="list" allowBlank="1" sqref="F27">
      <formula1>"-5%,-4%,-3%,-2%,-1%,0%,+1%,+2%,+3%,+4%,+5%,+6%,+8%,+10%"</formula1>
    </dataValidation>
  </dataValidations>
  <drawing r:id="rId1"/>
</worksheet>
</file>